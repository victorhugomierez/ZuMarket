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esktop\kioscoooo\BASE_DATOS\"/>
    </mc:Choice>
  </mc:AlternateContent>
  <xr:revisionPtr revIDLastSave="0" documentId="13_ncr:1_{E632671E-45DD-4ADC-A44D-F78514D0E70A}" xr6:coauthVersionLast="47" xr6:coauthVersionMax="47" xr10:uidLastSave="{00000000-0000-0000-0000-000000000000}"/>
  <bookViews>
    <workbookView xWindow="-120" yWindow="-120" windowWidth="20730" windowHeight="11760" xr2:uid="{9A00778A-9536-488C-8BFC-2A4E6FB11C3E}"/>
  </bookViews>
  <sheets>
    <sheet name="BaseInventario" sheetId="1" r:id="rId1"/>
  </sheets>
  <definedNames>
    <definedName name="BT_kiosko">BaseInventario!#REF!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90" i="1" l="1"/>
  <c r="H42" i="1"/>
  <c r="H28" i="1"/>
  <c r="H29" i="1"/>
  <c r="H33" i="1"/>
  <c r="H36" i="1"/>
  <c r="H37" i="1"/>
  <c r="H38" i="1"/>
  <c r="H41" i="1"/>
  <c r="H50" i="1"/>
  <c r="H58" i="1"/>
  <c r="H59" i="1"/>
  <c r="H64" i="1"/>
  <c r="H65" i="1"/>
  <c r="H71" i="1"/>
  <c r="H75" i="1"/>
  <c r="H76" i="1"/>
  <c r="H78" i="1"/>
  <c r="H82" i="1"/>
  <c r="H83" i="1"/>
  <c r="H84" i="1"/>
  <c r="H88" i="1"/>
  <c r="H91" i="1"/>
  <c r="H93" i="1"/>
  <c r="H98" i="1"/>
  <c r="H104" i="1"/>
  <c r="H112" i="1"/>
  <c r="H113" i="1"/>
  <c r="H114" i="1"/>
  <c r="H115" i="1"/>
  <c r="H119" i="1"/>
  <c r="H12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6BDD7C5-2DA6-46EC-80EF-F13288242506}" keepAlive="1" name="Query - Table1" description="Connection to the 'Table1' query in the workbook." type="5" refreshedVersion="8" background="1" saveData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<sst xmlns="http://schemas.openxmlformats.org/spreadsheetml/2006/main" count="247" uniqueCount="135">
  <si>
    <t xml:space="preserve">Codigo de Producto </t>
  </si>
  <si>
    <t>Nombre del Producto</t>
  </si>
  <si>
    <t>Cantidad en Stock</t>
  </si>
  <si>
    <t>Precio por Unidad</t>
  </si>
  <si>
    <t>Fehca de Adquisicion</t>
  </si>
  <si>
    <t>Fecha de Caducidad</t>
  </si>
  <si>
    <t>Cofler AirAlmendrado x55g.</t>
  </si>
  <si>
    <t>Cofler Air. Bonobonx67g.</t>
  </si>
  <si>
    <t>Cofler Graffiti Bco.x45g.</t>
  </si>
  <si>
    <t>Cofler Graffitix45g</t>
  </si>
  <si>
    <t>Alfajor Chocoarroz FtllAxu</t>
  </si>
  <si>
    <t>Alfajor Chocoarroz D/Leche</t>
  </si>
  <si>
    <t>Alfajor Tofi 3 Bcoc73g.</t>
  </si>
  <si>
    <t>Alfajor Jorgelin Glac.</t>
  </si>
  <si>
    <t>Alfajor Jorgelin Negro</t>
  </si>
  <si>
    <t>Alfajor Milka triple DDLx70</t>
  </si>
  <si>
    <t>Alfajor Jorgito Negro</t>
  </si>
  <si>
    <t>Rhodesiax22g.</t>
  </si>
  <si>
    <t>Alfajor Tofi 3 Negrox73g.</t>
  </si>
  <si>
    <t>Alfajor Capitan Negrox40g</t>
  </si>
  <si>
    <t>Alfajor Capitan Triple</t>
  </si>
  <si>
    <t>Alfajor Barcelona Negrox60g.</t>
  </si>
  <si>
    <t xml:space="preserve">Gall.Rex Tub.x75 Orig. </t>
  </si>
  <si>
    <t>Car.miel+mentax335g.</t>
  </si>
  <si>
    <t>gall.Milka Moussex116g.</t>
  </si>
  <si>
    <t>Gall.Cerealitasx207/212</t>
  </si>
  <si>
    <t>Capullitos Pizzitosx80g</t>
  </si>
  <si>
    <t>Capullitos Larguitosx80g.</t>
  </si>
  <si>
    <t>Chocotriox300g.</t>
  </si>
  <si>
    <t>Biscuit Chipsx142/1</t>
  </si>
  <si>
    <t>Bay Biscuitx140/142g.</t>
  </si>
  <si>
    <t>Bizc.salvadox200g</t>
  </si>
  <si>
    <t>Gall.Vainitasx152g.</t>
  </si>
  <si>
    <t>Baycal Biscuitx105g</t>
  </si>
  <si>
    <t>PepasxKilo Futuro</t>
  </si>
  <si>
    <t>Goma Jelly Rollx1Kg.</t>
  </si>
  <si>
    <t>Alfajor Pepito triplex57g.</t>
  </si>
  <si>
    <t>Car.Saq.Ftax810g.</t>
  </si>
  <si>
    <t>Pepasx170g.Futuro</t>
  </si>
  <si>
    <t>Polvorin vain/Frutx150g</t>
  </si>
  <si>
    <t>Ttalitas Tosti Pizzax10g</t>
  </si>
  <si>
    <t>Tost. Tosti Dulcex200g</t>
  </si>
  <si>
    <t>Tost. Tosti Clasicax200g</t>
  </si>
  <si>
    <t>N/S</t>
  </si>
  <si>
    <t>Alfajor Oreo Trilogiax56/56</t>
  </si>
  <si>
    <t>Turron Arcorx25g</t>
  </si>
  <si>
    <t>Capullitos Tapitasx80g</t>
  </si>
  <si>
    <t>Alfajor Jorgito Glaceado</t>
  </si>
  <si>
    <t>Alfajor Vaquita Arroz Limon</t>
  </si>
  <si>
    <t>Alfajor Vaquita Arroz Marron</t>
  </si>
  <si>
    <t>Alfajor Vaquita Arroz Vai/Frutilla</t>
  </si>
  <si>
    <t>Alfajor Barcelona Blanco</t>
  </si>
  <si>
    <t>Alfajor Capitan Blancox40g.</t>
  </si>
  <si>
    <t>Pañuelitos Bluesoft</t>
  </si>
  <si>
    <t>Capullitos Maiz x80g</t>
  </si>
  <si>
    <t>Choc.Miskyx25g. Blanco</t>
  </si>
  <si>
    <t>Cofler Air.Mixtox27g</t>
  </si>
  <si>
    <t>Cofler Air. Lechex27g</t>
  </si>
  <si>
    <t>Cofler Air. Bonobonx30g</t>
  </si>
  <si>
    <t>Cer. Fort Ladyx19g</t>
  </si>
  <si>
    <t>OB. Bon-o-Bon Negrox30g</t>
  </si>
  <si>
    <t>Cer.Fort FTlla</t>
  </si>
  <si>
    <t>Choc. Arcorx25g 50%Cacao</t>
  </si>
  <si>
    <t>Palito Tunky 12x80g</t>
  </si>
  <si>
    <t>Bizc.Clasx200g. 9De Oro</t>
  </si>
  <si>
    <t>Bizc.Ag/DCEx200g 9De Oro</t>
  </si>
  <si>
    <t>Chocotriox180g</t>
  </si>
  <si>
    <t>Pepas C/Chips triox180g</t>
  </si>
  <si>
    <t>Ch.T/line 7Tuttix16u</t>
  </si>
  <si>
    <t>Oskitos triox150g</t>
  </si>
  <si>
    <t>Peoas Alemanas Triox180g</t>
  </si>
  <si>
    <t>Vocacion Clasicasx3x128g</t>
  </si>
  <si>
    <t>Lipo S.Acidosx97g</t>
  </si>
  <si>
    <t>Car. Gajitosx485g. Arcor</t>
  </si>
  <si>
    <t>Gall. Oreox117/118g</t>
  </si>
  <si>
    <t>Hamlet Chocolatosox43g</t>
  </si>
  <si>
    <t>Hamlet Yog/FTllAx43g</t>
  </si>
  <si>
    <t>Hamlet Negrox45g</t>
  </si>
  <si>
    <t>DB.B on-O-Bon Bcax30g</t>
  </si>
  <si>
    <t>Rhodesia Chocolatex22g</t>
  </si>
  <si>
    <t>Alfajor Mini Torta Bco.x69/7</t>
  </si>
  <si>
    <t>Alfajor Togix45g</t>
  </si>
  <si>
    <t>Alfajor Mini Torta Brownix71g</t>
  </si>
  <si>
    <t>Alfajor Tortax69/72g</t>
  </si>
  <si>
    <t>Alfajor Milka Triple Mousse</t>
  </si>
  <si>
    <t>Alfajor Terrabisi Triplex70g</t>
  </si>
  <si>
    <t>Alfajor Bon-O-Bon Minix6u</t>
  </si>
  <si>
    <t>Alfajor Bon-O-BonNegrox40g</t>
  </si>
  <si>
    <t>Palitos Tunkyx250g</t>
  </si>
  <si>
    <t>Choc. Miskyx25g Negro</t>
  </si>
  <si>
    <t>Choc. Arcorx25g.Bco.</t>
  </si>
  <si>
    <t>Cofler Air.Blancox27g</t>
  </si>
  <si>
    <t>Cer.Fort Mznax22g</t>
  </si>
  <si>
    <t>Gall.Mantekitax170g</t>
  </si>
  <si>
    <t>Gall.cer.Bagley Salvx16</t>
  </si>
  <si>
    <t>Gall.cer.Bagley Arrozx1</t>
  </si>
  <si>
    <t>alfajor tofi negro</t>
  </si>
  <si>
    <t>n/s</t>
  </si>
  <si>
    <t>ALF.MILKA TORTA OREO</t>
  </si>
  <si>
    <t>ALF.BAGLEY 3.0 NEGROx73.</t>
  </si>
  <si>
    <t>Alfajor Mini Torta Cocox73</t>
  </si>
  <si>
    <t>Alfajor Capitan Frutax40g.</t>
  </si>
  <si>
    <t>Alfajor Bon-o-Bon Triplex60g</t>
  </si>
  <si>
    <t>Cofler Air DDL TOFIx70g.</t>
  </si>
  <si>
    <t>COFLER AIR.MIXTOx55gr</t>
  </si>
  <si>
    <t>300c/u</t>
  </si>
  <si>
    <t>Goma Mogul anillos</t>
  </si>
  <si>
    <t>8ux21b. (200c/u)=4200</t>
  </si>
  <si>
    <t>Chicle Top Line 7Menthol x16u.</t>
  </si>
  <si>
    <t>300 c/u</t>
  </si>
  <si>
    <t>Minipepasx150gr futuro</t>
  </si>
  <si>
    <t>Pepas c/Chips triox320g</t>
  </si>
  <si>
    <t>Alfajor Toddyx60g</t>
  </si>
  <si>
    <t>Alfjor.Bagley Blancox50g</t>
  </si>
  <si>
    <t>Tost. Lightx200g</t>
  </si>
  <si>
    <t>6ux22b.(200c/u)=4400</t>
  </si>
  <si>
    <t>10ux21b.(200c/u)= 4200</t>
  </si>
  <si>
    <t>Lipo S.Acidosx150g</t>
  </si>
  <si>
    <t>6ux7b.(200c/u)=1400</t>
  </si>
  <si>
    <t>6ux11b(200c/u)=2200</t>
  </si>
  <si>
    <t>Valor Final por Unidad (20%)</t>
  </si>
  <si>
    <t>29/07/2023</t>
  </si>
  <si>
    <t>N/Ss</t>
  </si>
  <si>
    <t>464,4</t>
  </si>
  <si>
    <t>15/08/2023</t>
  </si>
  <si>
    <t>ALF.TOFY NEGROX46g</t>
  </si>
  <si>
    <t>Gall. COQUITOSx170g</t>
  </si>
  <si>
    <t>Gall.FROLITAS TRIOx160g</t>
  </si>
  <si>
    <t>Gall.COCOx170g</t>
  </si>
  <si>
    <t>01//09/2023</t>
  </si>
  <si>
    <t>CHOC.ARCORx25g.LECHE</t>
  </si>
  <si>
    <t>HAMBLET VAIN.x45g. LCH/</t>
  </si>
  <si>
    <t>COFLER AIR.BLANCOx55g</t>
  </si>
  <si>
    <t>CER.FORT CLASICOx23g</t>
  </si>
  <si>
    <t>300c/u x12=3600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</si>
</sst>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[$$-2C0A]\ * #,##0.00_-;\-[$$-2C0A]\ * #,##0.00_-;_-[$$-2C0A]\ * &quot;-&quot;??_-;_-@_-"/>
    <numFmt numFmtId="165" formatCode="dd/mm/yyyy;@"/>
  </numFmts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0" borderId="0" xfId="0" applyAlignment="1">
      <alignment horizontal="right"/>
    </xf>
    <xf numFmtId="14" fontId="0" fillId="2" borderId="0" xfId="0" applyNumberFormat="1" applyFill="1"/>
    <xf numFmtId="0" fontId="0" fillId="2" borderId="0" xfId="0" applyFill="1" applyAlignment="1">
      <alignment horizontal="right"/>
    </xf>
    <xf numFmtId="164" fontId="0" fillId="0" borderId="0" xfId="0" applyNumberFormat="1"/>
    <xf numFmtId="164" fontId="0" fillId="2" borderId="0" xfId="0" applyNumberFormat="1" applyFill="1"/>
    <xf numFmtId="164" fontId="0" fillId="0" borderId="0" xfId="0" applyNumberFormat="1" applyAlignment="1">
      <alignment horizontal="right"/>
    </xf>
    <xf numFmtId="164" fontId="0" fillId="3" borderId="0" xfId="0" applyNumberFormat="1" applyFill="1" applyAlignment="1">
      <alignment horizontal="right"/>
    </xf>
    <xf numFmtId="164" fontId="0" fillId="2" borderId="0" xfId="0" applyNumberFormat="1" applyFill="1" applyAlignment="1">
      <alignment horizontal="right"/>
    </xf>
    <xf numFmtId="165" fontId="0" fillId="0" borderId="0" xfId="0" applyNumberFormat="1" applyAlignment="1">
      <alignment horizontal="right"/>
    </xf>
  </cellXfs>
  <cellStyles count="1">
    <cellStyle name="Normal" xfId="0" builtinId="0"/>
  </cellStyles>
  <dxfs count="7"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9" formatCode="d/m/yyyy"/>
    </dxf>
    <dxf>
      <numFmt numFmtId="164" formatCode="_-[$$-2C0A]\ * #,##0.00_-;\-[$$-2C0A]\ * #,##0.00_-;_-[$$-2C0A]\ * &quot;-&quot;??_-;_-@_-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161925</xdr:rowOff>
    </xdr:from>
    <xdr:to>
      <xdr:col>2</xdr:col>
      <xdr:colOff>485775</xdr:colOff>
      <xdr:row>4</xdr:row>
      <xdr:rowOff>0</xdr:rowOff>
    </xdr:to>
    <xdr:sp macro="[0]!MOSTRAR_FORMULARIO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12750B6-7EAF-4A5E-F57B-D0EED2C111CE}"/>
            </a:ext>
          </a:extLst>
        </xdr:cNvPr>
        <xdr:cNvSpPr/>
      </xdr:nvSpPr>
      <xdr:spPr>
        <a:xfrm>
          <a:off x="619125" y="352425"/>
          <a:ext cx="1866900" cy="409575"/>
        </a:xfrm>
        <a:prstGeom prst="roundRect">
          <a:avLst/>
        </a:prstGeom>
        <a:solidFill>
          <a:schemeClr val="accent2">
            <a:lumMod val="75000"/>
          </a:schemeClr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200" b="1" u="sng"/>
            <a:t>MOSTRAR</a:t>
          </a:r>
          <a:r>
            <a:rPr lang="es-419" sz="1200" b="1" u="sng" baseline="0"/>
            <a:t> FORMULARIO</a:t>
          </a:r>
          <a:endParaRPr lang="es-419" sz="1200" b="1" u="sng"/>
        </a:p>
      </xdr:txBody>
    </xdr:sp>
    <xdr:clientData/>
  </xdr:twoCellAnchor>
  <xdr:twoCellAnchor>
    <xdr:from>
      <xdr:col>2</xdr:col>
      <xdr:colOff>581025</xdr:colOff>
      <xdr:row>1</xdr:row>
      <xdr:rowOff>171450</xdr:rowOff>
    </xdr:from>
    <xdr:to>
      <xdr:col>3</xdr:col>
      <xdr:colOff>390524</xdr:colOff>
      <xdr:row>4</xdr:row>
      <xdr:rowOff>9525</xdr:rowOff>
    </xdr:to>
    <xdr:sp macro="[0]!OCULTAR_EXCEL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8C9BB12-F1A4-4F49-A477-892E0AB58A86}"/>
            </a:ext>
          </a:extLst>
        </xdr:cNvPr>
        <xdr:cNvSpPr/>
      </xdr:nvSpPr>
      <xdr:spPr>
        <a:xfrm>
          <a:off x="2581275" y="361950"/>
          <a:ext cx="1847849" cy="409575"/>
        </a:xfrm>
        <a:prstGeom prst="roundRect">
          <a:avLst/>
        </a:prstGeom>
        <a:solidFill>
          <a:schemeClr val="accent2">
            <a:lumMod val="75000"/>
          </a:schemeClr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200" b="1" u="sng"/>
            <a:t>OCULTAR</a:t>
          </a:r>
          <a:r>
            <a:rPr lang="es-419" sz="1200" b="1" u="sng" baseline="0"/>
            <a:t> EXCEL</a:t>
          </a:r>
          <a:endParaRPr lang="es-419" sz="1200" b="1" u="sng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1463532-973E-4591-8E54-49842865841D}" name="BaseInventario" displayName="BaseInventario" ref="B6:H120" totalsRowShown="0">
  <autoFilter ref="B6:H120" xr:uid="{A1463532-973E-4591-8E54-49842865841D}"/>
  <sortState xmlns:xlrd2="http://schemas.microsoft.com/office/spreadsheetml/2017/richdata2" ref="B7:H120">
    <sortCondition ref="B6:B120"/>
  </sortState>
  <tableColumns count="7">
    <tableColumn id="1" xr3:uid="{26EE75F1-3E7D-4E10-B43F-714E327564BD}" name="Codigo de Producto " dataDxfId="6"/>
    <tableColumn id="2" xr3:uid="{DC169BF2-833E-47CA-8170-4ADC387D195B}" name="Nombre del Producto" dataDxfId="5"/>
    <tableColumn id="3" xr3:uid="{6E8954AB-5314-4CBC-AACF-D0A4764EB04E}" name="Cantidad en Stock" dataDxfId="4"/>
    <tableColumn id="4" xr3:uid="{E9224654-B5C6-4100-84B6-1B903294EBD6}" name="Precio por Unidad" dataDxfId="3"/>
    <tableColumn id="5" xr3:uid="{965CE513-4885-4FFD-9ACB-76F50D24F148}" name="Fehca de Adquisicion" dataDxfId="2"/>
    <tableColumn id="6" xr3:uid="{1200A684-A62C-447A-B488-FC4E346002A4}" name="Fecha de Caducidad" dataDxfId="1"/>
    <tableColumn id="7" xr3:uid="{B47EB37F-AB28-4F2E-A921-7159CB4D86ED}" name="Valor Final por Unidad (20%)" dataDxfId="0">
      <calculatedColumnFormula>(BaseInventario[[#This Row],[Precio por Unidad]]*20)/100+BaseInventario[[#This Row],[Precio por Unidad]]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913E8-6105-42F0-A3CD-8E4D3CD96FB7}">
  <sheetPr codeName="Sheet1"/>
  <dimension ref="B1:R120"/>
  <sheetViews>
    <sheetView tabSelected="1" workbookViewId="0">
      <selection activeCell="F101" sqref="F101"/>
    </sheetView>
  </sheetViews>
  <sheetFormatPr baseColWidth="10" defaultColWidth="9.140625" defaultRowHeight="15" x14ac:dyDescent="0.25"/>
  <cols>
    <col min="2" max="2" width="20.85546875" customWidth="1"/>
    <col min="3" max="3" width="30.5703125" bestFit="1" customWidth="1"/>
    <col min="4" max="4" width="18.85546875" customWidth="1"/>
    <col min="5" max="5" width="19" style="6" customWidth="1"/>
    <col min="6" max="6" width="21.85546875" customWidth="1"/>
    <col min="7" max="7" width="20.5703125" style="3" customWidth="1"/>
    <col min="8" max="8" width="26.7109375" bestFit="1" customWidth="1"/>
  </cols>
  <sheetData>
    <row r="1" spans="2:18" x14ac:dyDescent="0.25">
      <c r="C1">
        <v>1</v>
      </c>
      <c r="D1">
        <v>1</v>
      </c>
      <c r="E1" s="6">
        <v>1</v>
      </c>
      <c r="F1">
        <v>1</v>
      </c>
      <c r="G1" s="3">
        <v>1</v>
      </c>
      <c r="H1">
        <v>1</v>
      </c>
    </row>
    <row r="6" spans="2:18" x14ac:dyDescent="0.25">
      <c r="B6" t="s">
        <v>0</v>
      </c>
      <c r="C6" t="s">
        <v>1</v>
      </c>
      <c r="D6" t="s">
        <v>2</v>
      </c>
      <c r="E6" s="6" t="s">
        <v>3</v>
      </c>
      <c r="F6" t="s">
        <v>4</v>
      </c>
      <c r="G6" s="3" t="s">
        <v>5</v>
      </c>
      <c r="H6" s="3" t="s">
        <v>120</v>
      </c>
    </row>
    <row r="7" spans="2:18" x14ac:dyDescent="0.25">
      <c r="B7">
        <v>2864</v>
      </c>
      <c r="C7" t="s">
        <v>133</v>
      </c>
      <c r="D7">
        <v>1</v>
      </c>
      <c r="E7" s="6">
        <v>120</v>
      </c>
      <c r="F7" s="11">
        <v>44935</v>
      </c>
      <c r="G7" s="3" t="s">
        <v>43</v>
      </c>
      <c r="H7" s="8">
        <v>170</v>
      </c>
    </row>
    <row r="8" spans="2:18" x14ac:dyDescent="0.25">
      <c r="B8">
        <v>2957</v>
      </c>
      <c r="C8" t="s">
        <v>132</v>
      </c>
      <c r="D8">
        <v>1</v>
      </c>
      <c r="E8" s="6">
        <v>415</v>
      </c>
      <c r="F8" s="11">
        <v>44935</v>
      </c>
      <c r="G8" s="3" t="s">
        <v>43</v>
      </c>
      <c r="H8" s="8">
        <v>480</v>
      </c>
    </row>
    <row r="9" spans="2:18" x14ac:dyDescent="0.25">
      <c r="B9">
        <v>5105</v>
      </c>
      <c r="C9" t="s">
        <v>131</v>
      </c>
      <c r="D9">
        <v>1</v>
      </c>
      <c r="E9" s="6">
        <v>100</v>
      </c>
      <c r="F9" s="11">
        <v>45170</v>
      </c>
      <c r="G9" s="3" t="s">
        <v>43</v>
      </c>
      <c r="H9" s="8">
        <v>180</v>
      </c>
    </row>
    <row r="10" spans="2:18" x14ac:dyDescent="0.25">
      <c r="B10">
        <v>2725</v>
      </c>
      <c r="C10" t="s">
        <v>130</v>
      </c>
      <c r="D10">
        <v>2</v>
      </c>
      <c r="E10" s="6">
        <v>160</v>
      </c>
      <c r="F10" s="11">
        <v>45170</v>
      </c>
      <c r="G10" s="3" t="s">
        <v>43</v>
      </c>
      <c r="H10" s="8">
        <v>220</v>
      </c>
    </row>
    <row r="11" spans="2:18" x14ac:dyDescent="0.25">
      <c r="B11">
        <v>2394</v>
      </c>
      <c r="C11" t="s">
        <v>128</v>
      </c>
      <c r="D11">
        <v>1</v>
      </c>
      <c r="E11" s="6">
        <v>230</v>
      </c>
      <c r="F11" s="11">
        <v>44935</v>
      </c>
      <c r="G11" s="3" t="s">
        <v>43</v>
      </c>
      <c r="H11" s="8">
        <v>260</v>
      </c>
    </row>
    <row r="12" spans="2:18" x14ac:dyDescent="0.25">
      <c r="B12">
        <v>5002</v>
      </c>
      <c r="C12" t="s">
        <v>127</v>
      </c>
      <c r="D12">
        <v>1</v>
      </c>
      <c r="E12" s="6">
        <v>200</v>
      </c>
      <c r="F12" s="11">
        <v>44935</v>
      </c>
      <c r="G12" s="3" t="s">
        <v>43</v>
      </c>
      <c r="H12" s="8">
        <v>260</v>
      </c>
    </row>
    <row r="13" spans="2:18" x14ac:dyDescent="0.25">
      <c r="B13">
        <v>2393</v>
      </c>
      <c r="C13" t="s">
        <v>126</v>
      </c>
      <c r="D13">
        <v>1</v>
      </c>
      <c r="E13" s="6">
        <v>230</v>
      </c>
      <c r="F13" s="11">
        <v>44935</v>
      </c>
      <c r="G13" s="3" t="s">
        <v>43</v>
      </c>
      <c r="H13" s="8">
        <v>300</v>
      </c>
    </row>
    <row r="14" spans="2:18" x14ac:dyDescent="0.25">
      <c r="B14">
        <v>5400</v>
      </c>
      <c r="C14" t="s">
        <v>125</v>
      </c>
      <c r="D14">
        <v>1</v>
      </c>
      <c r="E14" s="6">
        <v>130</v>
      </c>
      <c r="F14" s="11">
        <v>44935</v>
      </c>
      <c r="G14" s="3" t="s">
        <v>43</v>
      </c>
      <c r="H14" s="8">
        <v>200</v>
      </c>
    </row>
    <row r="15" spans="2:18" x14ac:dyDescent="0.25">
      <c r="B15">
        <v>2005</v>
      </c>
      <c r="C15" t="s">
        <v>96</v>
      </c>
      <c r="D15">
        <v>1</v>
      </c>
      <c r="E15" s="6">
        <v>387</v>
      </c>
      <c r="F15" s="11" t="s">
        <v>121</v>
      </c>
      <c r="G15" s="3" t="s">
        <v>122</v>
      </c>
      <c r="H15" s="8" t="s">
        <v>123</v>
      </c>
      <c r="R15">
        <v>450</v>
      </c>
    </row>
    <row r="16" spans="2:18" x14ac:dyDescent="0.25">
      <c r="B16">
        <v>2051</v>
      </c>
      <c r="C16" t="s">
        <v>101</v>
      </c>
      <c r="D16">
        <v>1</v>
      </c>
      <c r="E16" s="6">
        <v>190</v>
      </c>
      <c r="F16" s="1">
        <v>44935</v>
      </c>
      <c r="G16" s="3" t="s">
        <v>43</v>
      </c>
      <c r="H16" s="8">
        <v>250</v>
      </c>
      <c r="R16">
        <v>265</v>
      </c>
    </row>
    <row r="17" spans="2:18" x14ac:dyDescent="0.25">
      <c r="B17">
        <v>2097</v>
      </c>
      <c r="C17" t="s">
        <v>113</v>
      </c>
      <c r="D17">
        <v>1</v>
      </c>
      <c r="E17" s="6">
        <v>170</v>
      </c>
      <c r="F17" s="1">
        <v>44935</v>
      </c>
      <c r="G17" s="3" t="s">
        <v>43</v>
      </c>
      <c r="H17" s="8">
        <v>240</v>
      </c>
    </row>
    <row r="18" spans="2:18" x14ac:dyDescent="0.25">
      <c r="B18">
        <v>2114</v>
      </c>
      <c r="C18" t="s">
        <v>52</v>
      </c>
      <c r="D18">
        <v>1</v>
      </c>
      <c r="E18" s="6">
        <v>190</v>
      </c>
      <c r="F18" s="1">
        <v>44935</v>
      </c>
      <c r="G18" s="3" t="s">
        <v>43</v>
      </c>
      <c r="H18" s="8">
        <v>250</v>
      </c>
      <c r="R18">
        <v>182</v>
      </c>
    </row>
    <row r="19" spans="2:18" x14ac:dyDescent="0.25">
      <c r="B19">
        <v>2115</v>
      </c>
      <c r="C19" t="s">
        <v>19</v>
      </c>
      <c r="D19">
        <v>1</v>
      </c>
      <c r="E19" s="6">
        <v>190</v>
      </c>
      <c r="F19" s="1">
        <v>44935</v>
      </c>
      <c r="G19" s="3" t="s">
        <v>43</v>
      </c>
      <c r="H19" s="8">
        <v>250</v>
      </c>
      <c r="R19">
        <v>202</v>
      </c>
    </row>
    <row r="20" spans="2:18" x14ac:dyDescent="0.25">
      <c r="B20">
        <v>2119</v>
      </c>
      <c r="C20" t="s">
        <v>111</v>
      </c>
      <c r="D20">
        <v>1</v>
      </c>
      <c r="E20" s="6">
        <v>340</v>
      </c>
      <c r="F20" s="1">
        <v>45163</v>
      </c>
      <c r="G20" s="3" t="s">
        <v>43</v>
      </c>
      <c r="H20" s="8">
        <v>410</v>
      </c>
    </row>
    <row r="21" spans="2:18" x14ac:dyDescent="0.25">
      <c r="B21">
        <v>2128</v>
      </c>
      <c r="C21" t="s">
        <v>103</v>
      </c>
      <c r="D21">
        <v>1</v>
      </c>
      <c r="E21" s="6">
        <v>470</v>
      </c>
      <c r="F21" s="1">
        <v>45143</v>
      </c>
      <c r="G21" s="3" t="s">
        <v>43</v>
      </c>
      <c r="H21" s="8">
        <v>550</v>
      </c>
      <c r="R21">
        <v>202</v>
      </c>
    </row>
    <row r="22" spans="2:18" x14ac:dyDescent="0.25">
      <c r="B22">
        <v>2151</v>
      </c>
      <c r="C22" t="s">
        <v>7</v>
      </c>
      <c r="D22">
        <v>2</v>
      </c>
      <c r="E22" s="6">
        <v>415</v>
      </c>
      <c r="F22" s="1">
        <v>44935</v>
      </c>
      <c r="G22" s="3" t="s">
        <v>43</v>
      </c>
      <c r="H22" s="8">
        <v>480</v>
      </c>
    </row>
    <row r="23" spans="2:18" x14ac:dyDescent="0.25">
      <c r="B23">
        <v>2162</v>
      </c>
      <c r="C23" t="s">
        <v>6</v>
      </c>
      <c r="D23">
        <v>2</v>
      </c>
      <c r="E23" s="6">
        <v>415</v>
      </c>
      <c r="F23" s="1">
        <v>44935</v>
      </c>
      <c r="G23" s="3" t="s">
        <v>43</v>
      </c>
      <c r="H23" s="8">
        <v>480</v>
      </c>
    </row>
    <row r="24" spans="2:18" x14ac:dyDescent="0.25">
      <c r="B24">
        <v>2171</v>
      </c>
      <c r="C24" t="s">
        <v>45</v>
      </c>
      <c r="D24">
        <v>4</v>
      </c>
      <c r="E24" s="6">
        <v>64</v>
      </c>
      <c r="F24" s="1">
        <v>45163</v>
      </c>
      <c r="G24" s="3" t="s">
        <v>43</v>
      </c>
      <c r="H24" s="8">
        <v>120</v>
      </c>
    </row>
    <row r="25" spans="2:18" x14ac:dyDescent="0.25">
      <c r="B25">
        <v>2205</v>
      </c>
      <c r="C25" t="s">
        <v>61</v>
      </c>
      <c r="D25">
        <v>1</v>
      </c>
      <c r="E25" s="6">
        <v>120</v>
      </c>
      <c r="F25" s="1">
        <v>44935</v>
      </c>
      <c r="G25" s="3" t="s">
        <v>43</v>
      </c>
      <c r="H25" s="8">
        <v>170</v>
      </c>
    </row>
    <row r="26" spans="2:18" x14ac:dyDescent="0.25">
      <c r="B26">
        <v>2235</v>
      </c>
      <c r="C26" t="s">
        <v>14</v>
      </c>
      <c r="D26">
        <v>1</v>
      </c>
      <c r="E26" s="6">
        <v>222</v>
      </c>
      <c r="F26" s="1">
        <v>44935</v>
      </c>
      <c r="G26" s="3" t="s">
        <v>43</v>
      </c>
      <c r="H26" s="8">
        <v>280</v>
      </c>
    </row>
    <row r="27" spans="2:18" x14ac:dyDescent="0.25">
      <c r="B27">
        <v>2236</v>
      </c>
      <c r="C27" t="s">
        <v>13</v>
      </c>
      <c r="D27">
        <v>1</v>
      </c>
      <c r="E27" s="6">
        <v>214</v>
      </c>
      <c r="F27" s="1">
        <v>45163</v>
      </c>
      <c r="G27" s="3" t="s">
        <v>43</v>
      </c>
      <c r="H27" s="8">
        <v>270</v>
      </c>
    </row>
    <row r="28" spans="2:18" x14ac:dyDescent="0.25">
      <c r="B28">
        <v>2248</v>
      </c>
      <c r="C28" t="s">
        <v>89</v>
      </c>
      <c r="D28">
        <v>2</v>
      </c>
      <c r="E28" s="6">
        <v>110</v>
      </c>
      <c r="F28" s="1">
        <v>45124</v>
      </c>
      <c r="G28" s="3" t="s">
        <v>43</v>
      </c>
      <c r="H28" s="8">
        <f>(BaseInventario[[#This Row],[Precio por Unidad]]*20)/100+BaseInventario[[#This Row],[Precio por Unidad]]</f>
        <v>132</v>
      </c>
    </row>
    <row r="29" spans="2:18" x14ac:dyDescent="0.25">
      <c r="B29">
        <v>2260</v>
      </c>
      <c r="C29" t="s">
        <v>50</v>
      </c>
      <c r="D29">
        <v>1</v>
      </c>
      <c r="E29" s="6">
        <v>97</v>
      </c>
      <c r="F29" s="1">
        <v>45136</v>
      </c>
      <c r="G29" s="3" t="s">
        <v>43</v>
      </c>
      <c r="H29" s="8">
        <f>(BaseInventario[[#This Row],[Precio por Unidad]]*20)/100+BaseInventario[[#This Row],[Precio por Unidad]]</f>
        <v>116.4</v>
      </c>
    </row>
    <row r="30" spans="2:18" x14ac:dyDescent="0.25">
      <c r="B30">
        <v>2267</v>
      </c>
      <c r="C30" t="s">
        <v>63</v>
      </c>
      <c r="D30">
        <v>1</v>
      </c>
      <c r="E30" s="6">
        <v>1750</v>
      </c>
      <c r="F30" s="1">
        <v>44935</v>
      </c>
      <c r="G30" s="3" t="s">
        <v>43</v>
      </c>
      <c r="H30" s="8" t="s">
        <v>134</v>
      </c>
    </row>
    <row r="31" spans="2:18" x14ac:dyDescent="0.25">
      <c r="B31">
        <v>2272</v>
      </c>
      <c r="C31" t="s">
        <v>47</v>
      </c>
      <c r="D31">
        <v>1</v>
      </c>
      <c r="E31" s="6">
        <v>170</v>
      </c>
      <c r="F31" s="1">
        <v>45163</v>
      </c>
      <c r="G31" s="3" t="s">
        <v>43</v>
      </c>
      <c r="H31" s="8">
        <v>230</v>
      </c>
    </row>
    <row r="32" spans="2:18" x14ac:dyDescent="0.25">
      <c r="B32">
        <v>2274</v>
      </c>
      <c r="C32" t="s">
        <v>16</v>
      </c>
      <c r="D32">
        <v>1</v>
      </c>
      <c r="E32" s="6">
        <v>170</v>
      </c>
      <c r="F32" s="1">
        <v>45163</v>
      </c>
      <c r="G32" s="3" t="s">
        <v>43</v>
      </c>
      <c r="H32" s="8">
        <v>230</v>
      </c>
    </row>
    <row r="33" spans="2:8" x14ac:dyDescent="0.25">
      <c r="B33">
        <v>2285</v>
      </c>
      <c r="C33" t="s">
        <v>48</v>
      </c>
      <c r="D33">
        <v>1</v>
      </c>
      <c r="E33" s="6">
        <v>97</v>
      </c>
      <c r="F33" s="1">
        <v>45136</v>
      </c>
      <c r="G33" s="3" t="s">
        <v>43</v>
      </c>
      <c r="H33" s="8">
        <f>(BaseInventario[[#This Row],[Precio por Unidad]]*20)/100+BaseInventario[[#This Row],[Precio por Unidad]]</f>
        <v>116.4</v>
      </c>
    </row>
    <row r="34" spans="2:8" x14ac:dyDescent="0.25">
      <c r="B34">
        <v>2306</v>
      </c>
      <c r="C34" t="s">
        <v>20</v>
      </c>
      <c r="D34">
        <v>1</v>
      </c>
      <c r="E34" s="6">
        <v>290</v>
      </c>
      <c r="F34" s="1">
        <v>44935</v>
      </c>
      <c r="G34" s="3" t="s">
        <v>43</v>
      </c>
      <c r="H34" s="8">
        <v>360</v>
      </c>
    </row>
    <row r="35" spans="2:8" x14ac:dyDescent="0.25">
      <c r="B35">
        <v>2324</v>
      </c>
      <c r="C35" t="s">
        <v>54</v>
      </c>
      <c r="D35">
        <v>2</v>
      </c>
      <c r="E35" s="6">
        <v>110</v>
      </c>
      <c r="F35" s="1">
        <v>45163</v>
      </c>
      <c r="G35" s="3" t="s">
        <v>43</v>
      </c>
      <c r="H35" s="8">
        <v>170</v>
      </c>
    </row>
    <row r="36" spans="2:8" x14ac:dyDescent="0.25">
      <c r="B36">
        <v>2333</v>
      </c>
      <c r="C36" t="s">
        <v>81</v>
      </c>
      <c r="D36">
        <v>2</v>
      </c>
      <c r="E36" s="6">
        <v>59</v>
      </c>
      <c r="F36" s="1">
        <v>45128</v>
      </c>
      <c r="G36" s="3" t="s">
        <v>43</v>
      </c>
      <c r="H36" s="8">
        <f>(BaseInventario[[#This Row],[Precio por Unidad]]*20)/100+BaseInventario[[#This Row],[Precio por Unidad]]</f>
        <v>70.8</v>
      </c>
    </row>
    <row r="37" spans="2:8" x14ac:dyDescent="0.25">
      <c r="B37">
        <v>2337</v>
      </c>
      <c r="C37" t="s">
        <v>66</v>
      </c>
      <c r="D37">
        <v>1</v>
      </c>
      <c r="E37" s="6">
        <v>210</v>
      </c>
      <c r="F37" s="1">
        <v>45128</v>
      </c>
      <c r="G37" s="3" t="s">
        <v>43</v>
      </c>
      <c r="H37" s="8">
        <f>(BaseInventario[[#This Row],[Precio por Unidad]]*20)/100+BaseInventario[[#This Row],[Precio por Unidad]]</f>
        <v>252</v>
      </c>
    </row>
    <row r="38" spans="2:8" x14ac:dyDescent="0.25">
      <c r="B38">
        <v>2351</v>
      </c>
      <c r="C38" t="s">
        <v>11</v>
      </c>
      <c r="D38">
        <v>1</v>
      </c>
      <c r="E38" s="6">
        <v>118</v>
      </c>
      <c r="F38" s="1">
        <v>45143</v>
      </c>
      <c r="G38" s="3" t="s">
        <v>43</v>
      </c>
      <c r="H38" s="8">
        <f>(BaseInventario[[#This Row],[Precio por Unidad]]*20)/100+BaseInventario[[#This Row],[Precio por Unidad]]</f>
        <v>141.6</v>
      </c>
    </row>
    <row r="39" spans="2:8" x14ac:dyDescent="0.25">
      <c r="B39">
        <v>2396</v>
      </c>
      <c r="C39" t="s">
        <v>87</v>
      </c>
      <c r="D39">
        <v>1</v>
      </c>
      <c r="E39" s="6">
        <v>163</v>
      </c>
      <c r="F39" s="1">
        <v>45163</v>
      </c>
      <c r="G39" s="3" t="s">
        <v>43</v>
      </c>
      <c r="H39" s="8">
        <v>240</v>
      </c>
    </row>
    <row r="40" spans="2:8" x14ac:dyDescent="0.25">
      <c r="B40">
        <v>2407</v>
      </c>
      <c r="C40" t="s">
        <v>17</v>
      </c>
      <c r="D40">
        <v>2</v>
      </c>
      <c r="E40" s="6">
        <v>140</v>
      </c>
      <c r="F40" s="1">
        <v>44935</v>
      </c>
      <c r="G40" s="3" t="s">
        <v>43</v>
      </c>
      <c r="H40" s="8">
        <v>200</v>
      </c>
    </row>
    <row r="41" spans="2:8" x14ac:dyDescent="0.25">
      <c r="B41">
        <v>2415</v>
      </c>
      <c r="C41" t="s">
        <v>93</v>
      </c>
      <c r="D41">
        <v>1</v>
      </c>
      <c r="E41" s="6">
        <v>176</v>
      </c>
      <c r="F41" s="1">
        <v>45124</v>
      </c>
      <c r="G41" s="3" t="s">
        <v>43</v>
      </c>
      <c r="H41" s="8">
        <f>(BaseInventario[[#This Row],[Precio por Unidad]]*20)/100+BaseInventario[[#This Row],[Precio por Unidad]]</f>
        <v>211.2</v>
      </c>
    </row>
    <row r="42" spans="2:8" x14ac:dyDescent="0.25">
      <c r="B42">
        <v>2423</v>
      </c>
      <c r="C42" t="s">
        <v>98</v>
      </c>
      <c r="D42">
        <v>1</v>
      </c>
      <c r="E42" s="6">
        <v>202</v>
      </c>
      <c r="F42" s="1">
        <v>45145</v>
      </c>
      <c r="H42" s="8">
        <f>(BaseInventario[[#This Row],[Precio por Unidad]]*20)/100+BaseInventario[[#This Row],[Precio por Unidad]]</f>
        <v>242.4</v>
      </c>
    </row>
    <row r="43" spans="2:8" x14ac:dyDescent="0.25">
      <c r="B43">
        <v>2427</v>
      </c>
      <c r="C43" t="s">
        <v>44</v>
      </c>
      <c r="D43">
        <v>1</v>
      </c>
      <c r="E43" s="6">
        <v>260</v>
      </c>
      <c r="F43" s="1">
        <v>45163</v>
      </c>
      <c r="G43" s="3" t="s">
        <v>43</v>
      </c>
      <c r="H43" s="8">
        <v>350</v>
      </c>
    </row>
    <row r="44" spans="2:8" x14ac:dyDescent="0.25">
      <c r="B44">
        <v>2428</v>
      </c>
      <c r="C44" t="s">
        <v>36</v>
      </c>
      <c r="D44">
        <v>1</v>
      </c>
      <c r="E44" s="6">
        <v>265</v>
      </c>
      <c r="F44" s="1" t="s">
        <v>124</v>
      </c>
      <c r="G44" s="3" t="s">
        <v>43</v>
      </c>
      <c r="H44" s="8">
        <v>350</v>
      </c>
    </row>
    <row r="45" spans="2:8" x14ac:dyDescent="0.25">
      <c r="B45">
        <v>2445</v>
      </c>
      <c r="C45" t="s">
        <v>15</v>
      </c>
      <c r="D45">
        <v>1</v>
      </c>
      <c r="E45" s="6">
        <v>246</v>
      </c>
      <c r="F45" s="1">
        <v>45153</v>
      </c>
      <c r="G45" s="3" t="s">
        <v>43</v>
      </c>
      <c r="H45" s="8">
        <v>350</v>
      </c>
    </row>
    <row r="46" spans="2:8" x14ac:dyDescent="0.25">
      <c r="B46">
        <v>2447</v>
      </c>
      <c r="C46" t="s">
        <v>84</v>
      </c>
      <c r="D46">
        <v>1</v>
      </c>
      <c r="E46" s="6">
        <v>246</v>
      </c>
      <c r="F46" s="1">
        <v>45153</v>
      </c>
      <c r="G46" s="3" t="s">
        <v>43</v>
      </c>
      <c r="H46" s="8">
        <v>350</v>
      </c>
    </row>
    <row r="47" spans="2:8" x14ac:dyDescent="0.25">
      <c r="B47">
        <v>2459</v>
      </c>
      <c r="C47" t="s">
        <v>9</v>
      </c>
      <c r="D47">
        <v>6</v>
      </c>
      <c r="E47" s="6">
        <v>188</v>
      </c>
      <c r="F47" s="1">
        <v>45163</v>
      </c>
      <c r="G47" s="3" t="s">
        <v>43</v>
      </c>
      <c r="H47" s="8">
        <v>280</v>
      </c>
    </row>
    <row r="48" spans="2:8" x14ac:dyDescent="0.25">
      <c r="B48" s="2">
        <v>2468</v>
      </c>
      <c r="C48" s="2" t="s">
        <v>106</v>
      </c>
      <c r="D48" s="2">
        <v>1</v>
      </c>
      <c r="E48" s="7">
        <v>2560</v>
      </c>
      <c r="F48" s="4">
        <v>45153</v>
      </c>
      <c r="G48" s="5" t="s">
        <v>43</v>
      </c>
      <c r="H48" s="10" t="s">
        <v>107</v>
      </c>
    </row>
    <row r="49" spans="2:8" x14ac:dyDescent="0.25">
      <c r="B49">
        <v>2479</v>
      </c>
      <c r="C49" t="s">
        <v>85</v>
      </c>
      <c r="D49">
        <v>1</v>
      </c>
      <c r="E49" s="6">
        <v>260</v>
      </c>
      <c r="F49" s="1">
        <v>45163</v>
      </c>
      <c r="G49" s="3" t="s">
        <v>43</v>
      </c>
      <c r="H49" s="8">
        <v>360</v>
      </c>
    </row>
    <row r="50" spans="2:8" x14ac:dyDescent="0.25">
      <c r="B50">
        <v>2507</v>
      </c>
      <c r="C50" t="s">
        <v>79</v>
      </c>
      <c r="D50">
        <v>3</v>
      </c>
      <c r="E50" s="6">
        <v>89</v>
      </c>
      <c r="F50" s="1">
        <v>45128</v>
      </c>
      <c r="G50" s="3" t="s">
        <v>43</v>
      </c>
      <c r="H50" s="8">
        <f>(BaseInventario[[#This Row],[Precio por Unidad]]*20)/100+BaseInventario[[#This Row],[Precio por Unidad]]</f>
        <v>106.8</v>
      </c>
    </row>
    <row r="51" spans="2:8" x14ac:dyDescent="0.25">
      <c r="B51">
        <v>2508</v>
      </c>
      <c r="C51" t="s">
        <v>78</v>
      </c>
      <c r="D51">
        <v>2</v>
      </c>
      <c r="E51" s="6">
        <v>182</v>
      </c>
      <c r="F51" s="1">
        <v>44935</v>
      </c>
      <c r="G51" s="3" t="s">
        <v>43</v>
      </c>
      <c r="H51" s="8">
        <v>260</v>
      </c>
    </row>
    <row r="52" spans="2:8" x14ac:dyDescent="0.25">
      <c r="B52" s="2">
        <v>2512</v>
      </c>
      <c r="C52" s="2" t="s">
        <v>37</v>
      </c>
      <c r="D52" s="2">
        <v>1</v>
      </c>
      <c r="E52" s="7">
        <v>1559</v>
      </c>
      <c r="F52" s="4">
        <v>45163</v>
      </c>
      <c r="G52" s="5" t="s">
        <v>43</v>
      </c>
      <c r="H52" s="10" t="s">
        <v>115</v>
      </c>
    </row>
    <row r="53" spans="2:8" x14ac:dyDescent="0.25">
      <c r="B53">
        <v>2520</v>
      </c>
      <c r="C53" t="s">
        <v>108</v>
      </c>
      <c r="D53">
        <v>1</v>
      </c>
      <c r="E53" s="6">
        <v>2300</v>
      </c>
      <c r="F53" s="1">
        <v>45163</v>
      </c>
      <c r="G53" s="3" t="s">
        <v>43</v>
      </c>
      <c r="H53" s="8" t="s">
        <v>109</v>
      </c>
    </row>
    <row r="54" spans="2:8" x14ac:dyDescent="0.25">
      <c r="B54">
        <v>2525</v>
      </c>
      <c r="C54" t="s">
        <v>88</v>
      </c>
      <c r="D54">
        <v>1</v>
      </c>
      <c r="E54" s="6">
        <v>380</v>
      </c>
      <c r="F54" s="1">
        <v>45163</v>
      </c>
      <c r="G54" s="3" t="s">
        <v>43</v>
      </c>
      <c r="H54" s="8">
        <v>450</v>
      </c>
    </row>
    <row r="55" spans="2:8" x14ac:dyDescent="0.25">
      <c r="B55">
        <v>2526</v>
      </c>
      <c r="C55" t="s">
        <v>100</v>
      </c>
      <c r="D55">
        <v>1</v>
      </c>
      <c r="E55" s="6">
        <v>265</v>
      </c>
      <c r="F55" s="1">
        <v>45153</v>
      </c>
      <c r="G55" s="3" t="s">
        <v>43</v>
      </c>
      <c r="H55" s="8">
        <v>350</v>
      </c>
    </row>
    <row r="56" spans="2:8" x14ac:dyDescent="0.25">
      <c r="B56">
        <v>2559</v>
      </c>
      <c r="C56" t="s">
        <v>112</v>
      </c>
      <c r="D56">
        <v>1</v>
      </c>
      <c r="E56" s="6">
        <v>320</v>
      </c>
      <c r="F56" s="1">
        <v>44935</v>
      </c>
      <c r="G56" s="3" t="s">
        <v>43</v>
      </c>
      <c r="H56" s="8">
        <v>380</v>
      </c>
    </row>
    <row r="57" spans="2:8" x14ac:dyDescent="0.25">
      <c r="B57">
        <v>2562</v>
      </c>
      <c r="C57" t="s">
        <v>83</v>
      </c>
      <c r="D57">
        <v>1</v>
      </c>
      <c r="E57" s="6">
        <v>230</v>
      </c>
      <c r="F57" s="1">
        <v>45163</v>
      </c>
      <c r="G57" s="3" t="s">
        <v>43</v>
      </c>
      <c r="H57" s="8">
        <v>350</v>
      </c>
    </row>
    <row r="58" spans="2:8" x14ac:dyDescent="0.25">
      <c r="B58">
        <v>2564</v>
      </c>
      <c r="C58" t="s">
        <v>24</v>
      </c>
      <c r="D58">
        <v>1</v>
      </c>
      <c r="E58" s="6">
        <v>230</v>
      </c>
      <c r="F58" s="1">
        <v>45143</v>
      </c>
      <c r="G58" s="3" t="s">
        <v>43</v>
      </c>
      <c r="H58" s="8">
        <f>(BaseInventario[[#This Row],[Precio por Unidad]]*20)/100+BaseInventario[[#This Row],[Precio por Unidad]]</f>
        <v>276</v>
      </c>
    </row>
    <row r="59" spans="2:8" x14ac:dyDescent="0.25">
      <c r="B59">
        <v>2576</v>
      </c>
      <c r="C59" t="s">
        <v>10</v>
      </c>
      <c r="D59">
        <v>1</v>
      </c>
      <c r="E59" s="6">
        <v>118</v>
      </c>
      <c r="F59" s="1">
        <v>45143</v>
      </c>
      <c r="G59" s="3" t="s">
        <v>43</v>
      </c>
      <c r="H59" s="8">
        <f>(BaseInventario[[#This Row],[Precio por Unidad]]*20)/100+BaseInventario[[#This Row],[Precio por Unidad]]</f>
        <v>141.6</v>
      </c>
    </row>
    <row r="60" spans="2:8" x14ac:dyDescent="0.25">
      <c r="B60" s="2">
        <v>2598</v>
      </c>
      <c r="C60" s="2"/>
      <c r="D60" s="2">
        <v>1</v>
      </c>
      <c r="E60" s="7">
        <v>1335</v>
      </c>
      <c r="F60" s="4">
        <v>45163</v>
      </c>
      <c r="G60" s="5" t="s">
        <v>43</v>
      </c>
      <c r="H60" s="10" t="s">
        <v>116</v>
      </c>
    </row>
    <row r="61" spans="2:8" x14ac:dyDescent="0.25">
      <c r="B61">
        <v>2613</v>
      </c>
      <c r="C61" t="s">
        <v>18</v>
      </c>
      <c r="D61">
        <v>1</v>
      </c>
      <c r="E61" s="6">
        <v>265</v>
      </c>
      <c r="F61" s="1">
        <v>45153</v>
      </c>
      <c r="G61" s="3" t="s">
        <v>43</v>
      </c>
      <c r="H61" s="8">
        <v>350</v>
      </c>
    </row>
    <row r="62" spans="2:8" x14ac:dyDescent="0.25">
      <c r="B62">
        <v>2622</v>
      </c>
      <c r="C62" t="s">
        <v>12</v>
      </c>
      <c r="D62">
        <v>1</v>
      </c>
      <c r="E62" s="6">
        <v>265</v>
      </c>
      <c r="F62" s="1">
        <v>45153</v>
      </c>
      <c r="G62" s="3" t="s">
        <v>43</v>
      </c>
      <c r="H62" s="8">
        <v>350</v>
      </c>
    </row>
    <row r="63" spans="2:8" x14ac:dyDescent="0.25">
      <c r="B63">
        <v>2624</v>
      </c>
      <c r="C63" t="s">
        <v>8</v>
      </c>
      <c r="D63">
        <v>6</v>
      </c>
      <c r="E63" s="6">
        <v>188</v>
      </c>
      <c r="F63" s="1">
        <v>45163</v>
      </c>
      <c r="G63" s="3" t="s">
        <v>43</v>
      </c>
      <c r="H63" s="8">
        <v>280</v>
      </c>
    </row>
    <row r="64" spans="2:8" x14ac:dyDescent="0.25">
      <c r="B64">
        <v>2652</v>
      </c>
      <c r="C64" t="s">
        <v>86</v>
      </c>
      <c r="D64">
        <v>1</v>
      </c>
      <c r="E64" s="6">
        <v>461</v>
      </c>
      <c r="F64" s="1">
        <v>45128</v>
      </c>
      <c r="G64" s="3" t="s">
        <v>43</v>
      </c>
      <c r="H64" s="8">
        <f>(BaseInventario[[#This Row],[Precio por Unidad]]*20)/100+BaseInventario[[#This Row],[Precio por Unidad]]</f>
        <v>553.20000000000005</v>
      </c>
    </row>
    <row r="65" spans="2:8" x14ac:dyDescent="0.25">
      <c r="B65">
        <v>2664</v>
      </c>
      <c r="C65" t="s">
        <v>71</v>
      </c>
      <c r="D65">
        <v>1</v>
      </c>
      <c r="E65" s="6">
        <v>360</v>
      </c>
      <c r="F65" s="1">
        <v>45128</v>
      </c>
      <c r="G65" s="3" t="s">
        <v>43</v>
      </c>
      <c r="H65" s="8">
        <f>(BaseInventario[[#This Row],[Precio por Unidad]]*20)/100+BaseInventario[[#This Row],[Precio por Unidad]]</f>
        <v>432</v>
      </c>
    </row>
    <row r="66" spans="2:8" x14ac:dyDescent="0.25">
      <c r="B66">
        <v>2714</v>
      </c>
      <c r="C66" t="s">
        <v>65</v>
      </c>
      <c r="D66">
        <v>1</v>
      </c>
      <c r="E66" s="6">
        <v>270</v>
      </c>
      <c r="F66" s="1">
        <v>44935</v>
      </c>
      <c r="G66" s="3" t="s">
        <v>43</v>
      </c>
      <c r="H66" s="8">
        <v>330</v>
      </c>
    </row>
    <row r="67" spans="2:8" x14ac:dyDescent="0.25">
      <c r="B67">
        <v>2718</v>
      </c>
      <c r="C67" t="s">
        <v>77</v>
      </c>
      <c r="D67">
        <v>1</v>
      </c>
      <c r="E67" s="6">
        <v>100</v>
      </c>
      <c r="F67" s="1">
        <v>44935</v>
      </c>
      <c r="G67" s="3" t="s">
        <v>43</v>
      </c>
      <c r="H67" s="8">
        <v>180</v>
      </c>
    </row>
    <row r="68" spans="2:8" x14ac:dyDescent="0.25">
      <c r="B68">
        <v>2724</v>
      </c>
      <c r="C68" t="s">
        <v>90</v>
      </c>
      <c r="D68">
        <v>2</v>
      </c>
      <c r="E68" s="6">
        <v>160</v>
      </c>
      <c r="F68" s="1">
        <v>44935</v>
      </c>
      <c r="G68" s="3" t="s">
        <v>43</v>
      </c>
      <c r="H68" s="8">
        <v>220</v>
      </c>
    </row>
    <row r="69" spans="2:8" x14ac:dyDescent="0.25">
      <c r="B69">
        <v>2734</v>
      </c>
      <c r="C69" t="s">
        <v>64</v>
      </c>
      <c r="D69">
        <v>1</v>
      </c>
      <c r="E69" s="6">
        <v>270</v>
      </c>
      <c r="F69" s="1">
        <v>44935</v>
      </c>
      <c r="G69" s="3" t="s">
        <v>43</v>
      </c>
      <c r="H69" s="8">
        <v>330</v>
      </c>
    </row>
    <row r="70" spans="2:8" x14ac:dyDescent="0.25">
      <c r="B70">
        <v>2764</v>
      </c>
      <c r="C70" t="s">
        <v>22</v>
      </c>
      <c r="D70">
        <v>1</v>
      </c>
      <c r="E70" s="6">
        <v>250</v>
      </c>
      <c r="F70" s="1">
        <v>45153</v>
      </c>
      <c r="G70" s="3" t="s">
        <v>43</v>
      </c>
      <c r="H70" s="8">
        <v>300</v>
      </c>
    </row>
    <row r="71" spans="2:8" x14ac:dyDescent="0.25">
      <c r="B71">
        <v>2771</v>
      </c>
      <c r="C71" t="s">
        <v>74</v>
      </c>
      <c r="D71">
        <v>1</v>
      </c>
      <c r="E71" s="6">
        <v>302</v>
      </c>
      <c r="F71" s="1">
        <v>45128</v>
      </c>
      <c r="G71" s="3" t="s">
        <v>43</v>
      </c>
      <c r="H71" s="8">
        <f>(BaseInventario[[#This Row],[Precio por Unidad]]*20)/100+BaseInventario[[#This Row],[Precio por Unidad]]</f>
        <v>362.4</v>
      </c>
    </row>
    <row r="72" spans="2:8" x14ac:dyDescent="0.25">
      <c r="B72">
        <v>2781</v>
      </c>
      <c r="C72" t="s">
        <v>75</v>
      </c>
      <c r="D72">
        <v>1</v>
      </c>
      <c r="E72" s="6">
        <v>115</v>
      </c>
      <c r="F72" s="1">
        <v>45153</v>
      </c>
      <c r="G72" s="3" t="s">
        <v>43</v>
      </c>
      <c r="H72" s="8">
        <v>180</v>
      </c>
    </row>
    <row r="73" spans="2:8" x14ac:dyDescent="0.25">
      <c r="B73">
        <v>2804</v>
      </c>
      <c r="C73" t="s">
        <v>59</v>
      </c>
      <c r="D73">
        <v>1</v>
      </c>
      <c r="E73" s="6">
        <v>120</v>
      </c>
      <c r="F73" s="1">
        <v>45163</v>
      </c>
      <c r="G73" s="3" t="s">
        <v>43</v>
      </c>
      <c r="H73" s="8">
        <v>170</v>
      </c>
    </row>
    <row r="74" spans="2:8" x14ac:dyDescent="0.25">
      <c r="B74">
        <v>2808</v>
      </c>
      <c r="C74" t="s">
        <v>99</v>
      </c>
      <c r="F74" s="1">
        <v>45115</v>
      </c>
      <c r="H74" s="8"/>
    </row>
    <row r="75" spans="2:8" x14ac:dyDescent="0.25">
      <c r="B75">
        <v>2833</v>
      </c>
      <c r="C75" t="s">
        <v>55</v>
      </c>
      <c r="D75">
        <v>1</v>
      </c>
      <c r="E75" s="6">
        <v>112</v>
      </c>
      <c r="F75" s="1">
        <v>45136</v>
      </c>
      <c r="G75" s="3" t="s">
        <v>43</v>
      </c>
      <c r="H75" s="8">
        <f>(BaseInventario[[#This Row],[Precio por Unidad]]*20)/100+BaseInventario[[#This Row],[Precio por Unidad]]</f>
        <v>134.4</v>
      </c>
    </row>
    <row r="76" spans="2:8" x14ac:dyDescent="0.25">
      <c r="B76">
        <v>2846</v>
      </c>
      <c r="C76" t="s">
        <v>49</v>
      </c>
      <c r="D76">
        <v>1</v>
      </c>
      <c r="E76" s="6">
        <v>97</v>
      </c>
      <c r="F76" s="1">
        <v>45136</v>
      </c>
      <c r="G76" s="3" t="s">
        <v>43</v>
      </c>
      <c r="H76" s="8">
        <f>(BaseInventario[[#This Row],[Precio por Unidad]]*20)/100+BaseInventario[[#This Row],[Precio por Unidad]]</f>
        <v>116.4</v>
      </c>
    </row>
    <row r="77" spans="2:8" x14ac:dyDescent="0.25">
      <c r="B77">
        <v>2874</v>
      </c>
      <c r="C77" t="s">
        <v>92</v>
      </c>
      <c r="D77">
        <v>1</v>
      </c>
      <c r="E77" s="6">
        <v>120</v>
      </c>
      <c r="F77" s="1">
        <v>45163</v>
      </c>
      <c r="G77" s="3" t="s">
        <v>43</v>
      </c>
      <c r="H77" s="8">
        <v>170</v>
      </c>
    </row>
    <row r="78" spans="2:8" x14ac:dyDescent="0.25">
      <c r="B78">
        <v>2887</v>
      </c>
      <c r="C78" t="s">
        <v>33</v>
      </c>
      <c r="D78">
        <v>1</v>
      </c>
      <c r="E78" s="6">
        <v>177</v>
      </c>
      <c r="F78" s="1">
        <v>45143</v>
      </c>
      <c r="G78" s="3" t="s">
        <v>43</v>
      </c>
      <c r="H78" s="8">
        <f>(BaseInventario[[#This Row],[Precio por Unidad]]*20)/100+BaseInventario[[#This Row],[Precio por Unidad]]</f>
        <v>212.4</v>
      </c>
    </row>
    <row r="79" spans="2:8" x14ac:dyDescent="0.25">
      <c r="B79">
        <v>2901</v>
      </c>
      <c r="C79" t="s">
        <v>30</v>
      </c>
      <c r="D79">
        <v>1</v>
      </c>
      <c r="E79" s="6">
        <v>300</v>
      </c>
      <c r="F79" s="1">
        <v>45153</v>
      </c>
      <c r="G79" s="3" t="s">
        <v>43</v>
      </c>
      <c r="H79" s="8">
        <v>360</v>
      </c>
    </row>
    <row r="80" spans="2:8" x14ac:dyDescent="0.25">
      <c r="B80">
        <v>2905</v>
      </c>
      <c r="C80" t="s">
        <v>29</v>
      </c>
      <c r="D80">
        <v>1</v>
      </c>
      <c r="E80" s="6">
        <v>480</v>
      </c>
      <c r="F80" s="1">
        <v>44935</v>
      </c>
      <c r="G80" s="3" t="s">
        <v>43</v>
      </c>
      <c r="H80" s="8">
        <v>530</v>
      </c>
    </row>
    <row r="81" spans="2:8" x14ac:dyDescent="0.25">
      <c r="B81" s="2">
        <v>2912</v>
      </c>
      <c r="C81" s="2" t="s">
        <v>68</v>
      </c>
      <c r="D81" s="2">
        <v>1</v>
      </c>
      <c r="E81" s="7">
        <v>2600</v>
      </c>
      <c r="F81" s="4">
        <v>45136</v>
      </c>
      <c r="G81" s="5" t="s">
        <v>43</v>
      </c>
      <c r="H81" s="10" t="s">
        <v>105</v>
      </c>
    </row>
    <row r="82" spans="2:8" x14ac:dyDescent="0.25">
      <c r="B82">
        <v>2932</v>
      </c>
      <c r="C82" t="s">
        <v>31</v>
      </c>
      <c r="D82">
        <v>2</v>
      </c>
      <c r="E82" s="6">
        <v>199</v>
      </c>
      <c r="F82" s="1">
        <v>45143</v>
      </c>
      <c r="G82" s="3" t="s">
        <v>43</v>
      </c>
      <c r="H82" s="8">
        <f>(BaseInventario[[#This Row],[Precio por Unidad]]*20)/100+BaseInventario[[#This Row],[Precio por Unidad]]</f>
        <v>238.8</v>
      </c>
    </row>
    <row r="83" spans="2:8" x14ac:dyDescent="0.25">
      <c r="B83">
        <v>2954</v>
      </c>
      <c r="C83" t="s">
        <v>91</v>
      </c>
      <c r="D83">
        <v>1</v>
      </c>
      <c r="E83" s="6">
        <v>210</v>
      </c>
      <c r="F83" s="1">
        <v>45124</v>
      </c>
      <c r="G83" s="3" t="s">
        <v>43</v>
      </c>
      <c r="H83" s="8">
        <f>(BaseInventario[[#This Row],[Precio por Unidad]]*20)/100+BaseInventario[[#This Row],[Precio por Unidad]]</f>
        <v>252</v>
      </c>
    </row>
    <row r="84" spans="2:8" x14ac:dyDescent="0.25">
      <c r="B84">
        <v>2955</v>
      </c>
      <c r="C84" t="s">
        <v>57</v>
      </c>
      <c r="D84">
        <v>1</v>
      </c>
      <c r="E84" s="6">
        <v>214</v>
      </c>
      <c r="F84" s="1">
        <v>45136</v>
      </c>
      <c r="G84" s="3" t="s">
        <v>43</v>
      </c>
      <c r="H84" s="8">
        <f>(BaseInventario[[#This Row],[Precio por Unidad]]*20)/100+BaseInventario[[#This Row],[Precio por Unidad]]</f>
        <v>256.8</v>
      </c>
    </row>
    <row r="85" spans="2:8" x14ac:dyDescent="0.25">
      <c r="B85">
        <v>2956</v>
      </c>
      <c r="C85" t="s">
        <v>56</v>
      </c>
      <c r="D85">
        <v>1</v>
      </c>
      <c r="E85" s="6">
        <v>270</v>
      </c>
      <c r="F85" s="1">
        <v>44935</v>
      </c>
      <c r="G85" s="3" t="s">
        <v>43</v>
      </c>
      <c r="H85" s="8">
        <v>320</v>
      </c>
    </row>
    <row r="86" spans="2:8" x14ac:dyDescent="0.25">
      <c r="B86">
        <v>2959</v>
      </c>
      <c r="C86" t="s">
        <v>104</v>
      </c>
      <c r="D86">
        <v>1</v>
      </c>
      <c r="E86" s="6">
        <v>415</v>
      </c>
      <c r="F86" s="1">
        <v>44935</v>
      </c>
      <c r="G86" s="3" t="s">
        <v>43</v>
      </c>
      <c r="H86" s="8">
        <v>480</v>
      </c>
    </row>
    <row r="87" spans="2:8" x14ac:dyDescent="0.25">
      <c r="B87">
        <v>2966</v>
      </c>
      <c r="C87" t="s">
        <v>21</v>
      </c>
      <c r="D87">
        <v>3</v>
      </c>
      <c r="E87" s="6">
        <v>118</v>
      </c>
      <c r="F87" s="1">
        <v>45163</v>
      </c>
      <c r="G87" s="3" t="s">
        <v>43</v>
      </c>
      <c r="H87" s="8">
        <v>170</v>
      </c>
    </row>
    <row r="88" spans="2:8" x14ac:dyDescent="0.25">
      <c r="B88">
        <v>2967</v>
      </c>
      <c r="C88" t="s">
        <v>51</v>
      </c>
      <c r="D88">
        <v>1</v>
      </c>
      <c r="E88" s="6">
        <v>114</v>
      </c>
      <c r="F88" s="1">
        <v>45136</v>
      </c>
      <c r="G88" s="3" t="s">
        <v>43</v>
      </c>
      <c r="H88" s="8">
        <f>(BaseInventario[[#This Row],[Precio por Unidad]]*20)/100+BaseInventario[[#This Row],[Precio por Unidad]]</f>
        <v>136.80000000000001</v>
      </c>
    </row>
    <row r="89" spans="2:8" x14ac:dyDescent="0.25">
      <c r="B89">
        <v>5029</v>
      </c>
      <c r="C89" t="s">
        <v>42</v>
      </c>
      <c r="D89">
        <v>1</v>
      </c>
      <c r="E89" s="6">
        <v>335</v>
      </c>
      <c r="F89" s="1">
        <v>45163</v>
      </c>
      <c r="G89" s="3" t="s">
        <v>43</v>
      </c>
      <c r="H89" s="8">
        <v>400</v>
      </c>
    </row>
    <row r="90" spans="2:8" x14ac:dyDescent="0.25">
      <c r="B90">
        <v>5030</v>
      </c>
      <c r="C90" t="s">
        <v>114</v>
      </c>
      <c r="D90">
        <v>1</v>
      </c>
      <c r="E90" s="6">
        <v>335</v>
      </c>
      <c r="F90" s="1">
        <v>45163</v>
      </c>
      <c r="G90" s="3" t="s">
        <v>43</v>
      </c>
      <c r="H90" s="8">
        <f>(BaseInventario[[#This Row],[Precio por Unidad]]*20)/100+BaseInventario[[#This Row],[Precio por Unidad]]</f>
        <v>402</v>
      </c>
    </row>
    <row r="91" spans="2:8" x14ac:dyDescent="0.25">
      <c r="B91">
        <v>5033</v>
      </c>
      <c r="C91" t="s">
        <v>41</v>
      </c>
      <c r="D91">
        <v>1</v>
      </c>
      <c r="E91" s="6">
        <v>335</v>
      </c>
      <c r="F91" s="1">
        <v>45136</v>
      </c>
      <c r="G91" s="3" t="s">
        <v>43</v>
      </c>
      <c r="H91" s="8">
        <f>(BaseInventario[[#This Row],[Precio por Unidad]]*20)/100+BaseInventario[[#This Row],[Precio por Unidad]]</f>
        <v>402</v>
      </c>
    </row>
    <row r="92" spans="2:8" x14ac:dyDescent="0.25">
      <c r="B92">
        <v>5053</v>
      </c>
      <c r="C92" t="s">
        <v>69</v>
      </c>
      <c r="D92">
        <v>1</v>
      </c>
      <c r="E92" s="6">
        <v>260</v>
      </c>
      <c r="F92" s="1">
        <v>44935</v>
      </c>
      <c r="G92" s="3" t="s">
        <v>43</v>
      </c>
      <c r="H92" s="8">
        <v>330</v>
      </c>
    </row>
    <row r="93" spans="2:8" x14ac:dyDescent="0.25">
      <c r="B93">
        <v>5097</v>
      </c>
      <c r="C93" t="s">
        <v>62</v>
      </c>
      <c r="D93">
        <v>1</v>
      </c>
      <c r="E93" s="6">
        <v>138</v>
      </c>
      <c r="F93" s="1">
        <v>45136</v>
      </c>
      <c r="G93" s="3" t="s">
        <v>43</v>
      </c>
      <c r="H93" s="8">
        <f>(BaseInventario[[#This Row],[Precio por Unidad]]*20)/100+BaseInventario[[#This Row],[Precio por Unidad]]</f>
        <v>165.6</v>
      </c>
    </row>
    <row r="94" spans="2:8" x14ac:dyDescent="0.25">
      <c r="B94">
        <v>5113</v>
      </c>
      <c r="C94" t="s">
        <v>60</v>
      </c>
      <c r="D94">
        <v>2</v>
      </c>
      <c r="E94" s="6">
        <v>182</v>
      </c>
      <c r="F94" s="1">
        <v>44935</v>
      </c>
      <c r="G94" s="3" t="s">
        <v>43</v>
      </c>
      <c r="H94" s="8">
        <v>260</v>
      </c>
    </row>
    <row r="95" spans="2:8" x14ac:dyDescent="0.25">
      <c r="B95" s="2">
        <v>5121</v>
      </c>
      <c r="C95" s="2" t="s">
        <v>23</v>
      </c>
      <c r="D95" s="2">
        <v>1</v>
      </c>
      <c r="E95" s="7">
        <v>710</v>
      </c>
      <c r="F95" s="4">
        <v>45143</v>
      </c>
      <c r="G95" s="5" t="s">
        <v>43</v>
      </c>
      <c r="H95" s="9" t="s">
        <v>119</v>
      </c>
    </row>
    <row r="96" spans="2:8" x14ac:dyDescent="0.25">
      <c r="B96" s="2">
        <v>5161</v>
      </c>
      <c r="C96" s="2" t="s">
        <v>73</v>
      </c>
      <c r="D96" s="2">
        <v>1</v>
      </c>
      <c r="E96" s="7">
        <v>883</v>
      </c>
      <c r="F96" s="4">
        <v>45163</v>
      </c>
      <c r="G96" s="5" t="s">
        <v>43</v>
      </c>
      <c r="H96" s="10" t="s">
        <v>119</v>
      </c>
    </row>
    <row r="97" spans="2:8" x14ac:dyDescent="0.25">
      <c r="B97">
        <v>5171</v>
      </c>
      <c r="C97" t="s">
        <v>38</v>
      </c>
      <c r="D97">
        <v>2</v>
      </c>
      <c r="E97" s="6">
        <v>150</v>
      </c>
      <c r="F97" s="1">
        <v>44935</v>
      </c>
      <c r="G97" s="3" t="s">
        <v>43</v>
      </c>
      <c r="H97" s="8">
        <v>200</v>
      </c>
    </row>
    <row r="98" spans="2:8" x14ac:dyDescent="0.25">
      <c r="B98">
        <v>5175</v>
      </c>
      <c r="C98" t="s">
        <v>34</v>
      </c>
      <c r="D98">
        <v>1</v>
      </c>
      <c r="E98" s="6">
        <v>699</v>
      </c>
      <c r="F98" s="1">
        <v>45143</v>
      </c>
      <c r="G98" s="3" t="s">
        <v>43</v>
      </c>
      <c r="H98" s="8">
        <f>(BaseInventario[[#This Row],[Precio por Unidad]]*20)/100+BaseInventario[[#This Row],[Precio por Unidad]]</f>
        <v>838.8</v>
      </c>
    </row>
    <row r="99" spans="2:8" x14ac:dyDescent="0.25">
      <c r="B99">
        <v>5177</v>
      </c>
      <c r="C99" t="s">
        <v>70</v>
      </c>
      <c r="D99">
        <v>1</v>
      </c>
      <c r="E99" s="6">
        <v>200</v>
      </c>
      <c r="F99" s="1" t="s">
        <v>129</v>
      </c>
      <c r="G99" s="3" t="s">
        <v>43</v>
      </c>
      <c r="H99" s="8">
        <v>260</v>
      </c>
    </row>
    <row r="100" spans="2:8" x14ac:dyDescent="0.25">
      <c r="B100">
        <v>5178</v>
      </c>
      <c r="C100" t="s">
        <v>110</v>
      </c>
      <c r="D100">
        <v>1</v>
      </c>
      <c r="E100" s="6">
        <v>152</v>
      </c>
      <c r="F100" s="1">
        <v>45163</v>
      </c>
      <c r="G100" s="3" t="s">
        <v>43</v>
      </c>
      <c r="H100" s="8">
        <v>220</v>
      </c>
    </row>
    <row r="101" spans="2:8" x14ac:dyDescent="0.25">
      <c r="B101">
        <v>5247</v>
      </c>
      <c r="C101" t="s">
        <v>76</v>
      </c>
      <c r="D101">
        <v>1</v>
      </c>
      <c r="E101" s="6">
        <v>120</v>
      </c>
      <c r="F101" s="1">
        <v>44935</v>
      </c>
      <c r="G101" s="3" t="s">
        <v>43</v>
      </c>
      <c r="H101" s="8">
        <v>180</v>
      </c>
    </row>
    <row r="102" spans="2:8" x14ac:dyDescent="0.25">
      <c r="B102">
        <v>5264</v>
      </c>
      <c r="C102" t="s">
        <v>94</v>
      </c>
      <c r="D102">
        <v>1</v>
      </c>
      <c r="E102" s="6">
        <v>242</v>
      </c>
      <c r="F102" s="1">
        <v>45124</v>
      </c>
      <c r="G102" s="3" t="s">
        <v>43</v>
      </c>
      <c r="H102" s="8">
        <v>290.39999999999998</v>
      </c>
    </row>
    <row r="103" spans="2:8" x14ac:dyDescent="0.25">
      <c r="B103">
        <v>5277</v>
      </c>
      <c r="C103" t="s">
        <v>40</v>
      </c>
      <c r="D103">
        <v>2</v>
      </c>
      <c r="E103" s="6">
        <v>260</v>
      </c>
      <c r="F103" s="1">
        <v>44935</v>
      </c>
      <c r="G103" s="3" t="s">
        <v>43</v>
      </c>
      <c r="H103" s="8">
        <v>330</v>
      </c>
    </row>
    <row r="104" spans="2:8" x14ac:dyDescent="0.25">
      <c r="B104">
        <v>5411</v>
      </c>
      <c r="C104" t="s">
        <v>32</v>
      </c>
      <c r="D104">
        <v>1</v>
      </c>
      <c r="E104" s="6">
        <v>261</v>
      </c>
      <c r="F104" s="1">
        <v>45143</v>
      </c>
      <c r="G104" s="3" t="s">
        <v>43</v>
      </c>
      <c r="H104" s="8">
        <f>(BaseInventario[[#This Row],[Precio por Unidad]]*20)/100+BaseInventario[[#This Row],[Precio por Unidad]]</f>
        <v>313.2</v>
      </c>
    </row>
    <row r="105" spans="2:8" x14ac:dyDescent="0.25">
      <c r="B105">
        <v>5429</v>
      </c>
      <c r="C105" t="s">
        <v>46</v>
      </c>
      <c r="D105">
        <v>2</v>
      </c>
      <c r="E105" s="6">
        <v>96</v>
      </c>
      <c r="F105" s="1">
        <v>45153</v>
      </c>
      <c r="G105" s="3" t="s">
        <v>43</v>
      </c>
      <c r="H105" s="8">
        <v>150</v>
      </c>
    </row>
    <row r="106" spans="2:8" x14ac:dyDescent="0.25">
      <c r="B106">
        <v>5451</v>
      </c>
      <c r="C106" t="s">
        <v>67</v>
      </c>
      <c r="D106">
        <v>1</v>
      </c>
      <c r="E106" s="6">
        <v>200</v>
      </c>
      <c r="F106" s="1">
        <v>44935</v>
      </c>
      <c r="G106" s="3" t="s">
        <v>43</v>
      </c>
      <c r="H106" s="8">
        <v>260</v>
      </c>
    </row>
    <row r="107" spans="2:8" x14ac:dyDescent="0.25">
      <c r="B107" s="2">
        <v>5494</v>
      </c>
      <c r="C107" s="2" t="s">
        <v>72</v>
      </c>
      <c r="D107" s="2">
        <v>1</v>
      </c>
      <c r="E107" s="7">
        <v>1275</v>
      </c>
      <c r="F107" s="4">
        <v>45128</v>
      </c>
      <c r="G107" s="5" t="s">
        <v>43</v>
      </c>
      <c r="H107" s="10" t="s">
        <v>97</v>
      </c>
    </row>
    <row r="108" spans="2:8" x14ac:dyDescent="0.25">
      <c r="B108" s="2">
        <v>5499</v>
      </c>
      <c r="C108" s="2" t="s">
        <v>117</v>
      </c>
      <c r="D108" s="2">
        <v>2</v>
      </c>
      <c r="E108" s="7">
        <v>577</v>
      </c>
      <c r="F108" s="4">
        <v>45163</v>
      </c>
      <c r="G108" s="5" t="s">
        <v>43</v>
      </c>
      <c r="H108" s="10" t="s">
        <v>118</v>
      </c>
    </row>
    <row r="109" spans="2:8" x14ac:dyDescent="0.25">
      <c r="B109" s="2">
        <v>5546</v>
      </c>
      <c r="C109" s="2" t="s">
        <v>35</v>
      </c>
      <c r="D109" s="2">
        <v>1</v>
      </c>
      <c r="E109" s="7">
        <v>1600</v>
      </c>
      <c r="F109" s="4">
        <v>45143</v>
      </c>
      <c r="G109" s="5" t="s">
        <v>43</v>
      </c>
      <c r="H109" s="10" t="s">
        <v>97</v>
      </c>
    </row>
    <row r="110" spans="2:8" x14ac:dyDescent="0.25">
      <c r="B110">
        <v>5654</v>
      </c>
      <c r="C110" t="s">
        <v>25</v>
      </c>
      <c r="D110">
        <v>1</v>
      </c>
      <c r="E110" s="6">
        <v>360</v>
      </c>
      <c r="F110" s="1">
        <v>45054</v>
      </c>
      <c r="G110" s="3" t="s">
        <v>43</v>
      </c>
      <c r="H110" s="8">
        <v>420</v>
      </c>
    </row>
    <row r="111" spans="2:8" x14ac:dyDescent="0.25">
      <c r="B111">
        <v>5663</v>
      </c>
      <c r="C111" t="s">
        <v>102</v>
      </c>
      <c r="D111">
        <v>1</v>
      </c>
      <c r="E111" s="6">
        <v>265</v>
      </c>
      <c r="F111" s="1">
        <v>45153</v>
      </c>
      <c r="G111" s="3" t="s">
        <v>43</v>
      </c>
      <c r="H111" s="8">
        <v>350</v>
      </c>
    </row>
    <row r="112" spans="2:8" x14ac:dyDescent="0.25">
      <c r="B112">
        <v>5674</v>
      </c>
      <c r="C112" t="s">
        <v>95</v>
      </c>
      <c r="D112">
        <v>1</v>
      </c>
      <c r="E112" s="6">
        <v>222</v>
      </c>
      <c r="F112" s="1">
        <v>45124</v>
      </c>
      <c r="G112" s="3" t="s">
        <v>43</v>
      </c>
      <c r="H112" s="8">
        <f>(BaseInventario[[#This Row],[Precio por Unidad]]*20)/100+BaseInventario[[#This Row],[Precio por Unidad]]</f>
        <v>266.39999999999998</v>
      </c>
    </row>
    <row r="113" spans="2:8" x14ac:dyDescent="0.25">
      <c r="B113">
        <v>5679</v>
      </c>
      <c r="C113" t="s">
        <v>28</v>
      </c>
      <c r="D113">
        <v>1</v>
      </c>
      <c r="E113" s="6">
        <v>373</v>
      </c>
      <c r="F113" s="1">
        <v>45143</v>
      </c>
      <c r="G113" s="3" t="s">
        <v>43</v>
      </c>
      <c r="H113" s="8">
        <f>(BaseInventario[[#This Row],[Precio por Unidad]]*20)/100+BaseInventario[[#This Row],[Precio por Unidad]]</f>
        <v>447.6</v>
      </c>
    </row>
    <row r="114" spans="2:8" x14ac:dyDescent="0.25">
      <c r="B114">
        <v>5700</v>
      </c>
      <c r="C114" t="s">
        <v>80</v>
      </c>
      <c r="D114">
        <v>1</v>
      </c>
      <c r="E114" s="6">
        <v>207</v>
      </c>
      <c r="F114" s="1">
        <v>45128</v>
      </c>
      <c r="G114" s="3" t="s">
        <v>43</v>
      </c>
      <c r="H114" s="8">
        <f>(BaseInventario[[#This Row],[Precio por Unidad]]*20)/100+BaseInventario[[#This Row],[Precio por Unidad]]</f>
        <v>248.4</v>
      </c>
    </row>
    <row r="115" spans="2:8" x14ac:dyDescent="0.25">
      <c r="B115">
        <v>5709</v>
      </c>
      <c r="C115" t="s">
        <v>82</v>
      </c>
      <c r="D115">
        <v>1</v>
      </c>
      <c r="E115" s="6">
        <v>207</v>
      </c>
      <c r="F115" s="1">
        <v>45128</v>
      </c>
      <c r="G115" s="3" t="s">
        <v>43</v>
      </c>
      <c r="H115" s="8">
        <f>(BaseInventario[[#This Row],[Precio por Unidad]]*20)/100+BaseInventario[[#This Row],[Precio por Unidad]]</f>
        <v>248.4</v>
      </c>
    </row>
    <row r="116" spans="2:8" x14ac:dyDescent="0.25">
      <c r="B116">
        <v>5719</v>
      </c>
      <c r="C116" t="s">
        <v>27</v>
      </c>
      <c r="D116">
        <v>2</v>
      </c>
      <c r="E116" s="6">
        <v>110</v>
      </c>
      <c r="F116" s="1">
        <v>45163</v>
      </c>
      <c r="G116" s="3" t="s">
        <v>43</v>
      </c>
      <c r="H116" s="8">
        <v>170</v>
      </c>
    </row>
    <row r="117" spans="2:8" x14ac:dyDescent="0.25">
      <c r="B117">
        <v>5857</v>
      </c>
      <c r="C117" t="s">
        <v>26</v>
      </c>
      <c r="D117">
        <v>1</v>
      </c>
      <c r="E117" s="6">
        <v>110</v>
      </c>
      <c r="F117" s="1">
        <v>45163</v>
      </c>
      <c r="G117" s="3" t="s">
        <v>43</v>
      </c>
      <c r="H117" s="8">
        <v>170</v>
      </c>
    </row>
    <row r="118" spans="2:8" x14ac:dyDescent="0.25">
      <c r="B118">
        <v>5937</v>
      </c>
      <c r="C118" t="s">
        <v>58</v>
      </c>
      <c r="D118">
        <v>1</v>
      </c>
      <c r="E118" s="6">
        <v>260</v>
      </c>
      <c r="F118" s="1">
        <v>44935</v>
      </c>
      <c r="G118" s="3" t="s">
        <v>43</v>
      </c>
      <c r="H118" s="8">
        <v>320</v>
      </c>
    </row>
    <row r="119" spans="2:8" x14ac:dyDescent="0.25">
      <c r="B119">
        <v>5985</v>
      </c>
      <c r="C119" t="s">
        <v>39</v>
      </c>
      <c r="D119">
        <v>1</v>
      </c>
      <c r="E119" s="6">
        <v>186</v>
      </c>
      <c r="F119" s="1">
        <v>45136</v>
      </c>
      <c r="G119" s="3" t="s">
        <v>43</v>
      </c>
      <c r="H119" s="8">
        <f>(BaseInventario[[#This Row],[Precio por Unidad]]*20)/100+BaseInventario[[#This Row],[Precio por Unidad]]</f>
        <v>223.2</v>
      </c>
    </row>
    <row r="120" spans="2:8" x14ac:dyDescent="0.25">
      <c r="B120">
        <v>8237</v>
      </c>
      <c r="C120" t="s">
        <v>53</v>
      </c>
      <c r="D120">
        <v>1</v>
      </c>
      <c r="E120" s="6">
        <v>326</v>
      </c>
      <c r="F120" s="1">
        <v>45136</v>
      </c>
      <c r="G120" s="3" t="s">
        <v>43</v>
      </c>
      <c r="H120" s="8">
        <f>(BaseInventario[[#This Row],[Precio por Unidad]]*20)/100+BaseInventario[[#This Row],[Precio por Unidad]]</f>
        <v>391.2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A9A16A8-3813-4F29-B629-1264ADAA709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BaseInventario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</dc:creator>
  <cp:lastModifiedBy>victor mierez</cp:lastModifiedBy>
  <dcterms:created xsi:type="dcterms:W3CDTF">2023-08-08T14:10:04Z</dcterms:created>
  <dcterms:modified xsi:type="dcterms:W3CDTF">2023-09-03T22:03:11Z</dcterms:modified>
</cp:coreProperties>
</file>